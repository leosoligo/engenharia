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78fe5ce50d8c6f/Área de Trabalho/"/>
    </mc:Choice>
  </mc:AlternateContent>
  <xr:revisionPtr revIDLastSave="0" documentId="8_{EDEE26B4-6D81-45B3-8CBE-295EC8465D4E}" xr6:coauthVersionLast="47" xr6:coauthVersionMax="47" xr10:uidLastSave="{00000000-0000-0000-0000-000000000000}"/>
  <bookViews>
    <workbookView xWindow="3270" yWindow="2700" windowWidth="28800" windowHeight="15345" xr2:uid="{00000000-000D-0000-FFFF-FFFF00000000}"/>
  </bookViews>
  <sheets>
    <sheet name="Projeto_CargasFundaca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" l="1"/>
  <c r="N31" i="1"/>
  <c r="M31" i="1"/>
  <c r="L31" i="1"/>
  <c r="K31" i="1"/>
  <c r="J31" i="1"/>
  <c r="I31" i="1"/>
  <c r="H31" i="1"/>
  <c r="G31" i="1"/>
  <c r="F31" i="1"/>
  <c r="E31" i="1"/>
  <c r="P31" i="1" s="1"/>
  <c r="D31" i="1"/>
  <c r="C31" i="1"/>
</calcChain>
</file>

<file path=xl/sharedStrings.xml><?xml version="1.0" encoding="utf-8"?>
<sst xmlns="http://schemas.openxmlformats.org/spreadsheetml/2006/main" count="196" uniqueCount="55">
  <si>
    <t>OBRA</t>
  </si>
  <si>
    <t/>
  </si>
  <si>
    <t>Tipo</t>
  </si>
  <si>
    <t>Título</t>
  </si>
  <si>
    <t>Endereço</t>
  </si>
  <si>
    <t>Cliente</t>
  </si>
  <si>
    <t>Relatório de Cargas nas Fundações</t>
  </si>
  <si>
    <t>Fundação</t>
  </si>
  <si>
    <t>Carga (tf)</t>
  </si>
  <si>
    <t>Carga máxima (tf)</t>
  </si>
  <si>
    <t>Nome</t>
  </si>
  <si>
    <t>Seção
(cm)</t>
  </si>
  <si>
    <t>Peso
próprio</t>
  </si>
  <si>
    <t>Adicional</t>
  </si>
  <si>
    <t>Solo</t>
  </si>
  <si>
    <t>Retração</t>
  </si>
  <si>
    <t>Acidental</t>
  </si>
  <si>
    <t>Vento
X+</t>
  </si>
  <si>
    <t>Vento
X-</t>
  </si>
  <si>
    <t>Vento
Y+</t>
  </si>
  <si>
    <t>Vento
Y-</t>
  </si>
  <si>
    <t>Desaprumo
X+</t>
  </si>
  <si>
    <t>Desaprumo
X-</t>
  </si>
  <si>
    <t>Desaprumo
Y+</t>
  </si>
  <si>
    <t>Desaprumo
Y-</t>
  </si>
  <si>
    <t>Positiva</t>
  </si>
  <si>
    <t>Negativa</t>
  </si>
  <si>
    <t>P1</t>
  </si>
  <si>
    <t>14x30</t>
  </si>
  <si>
    <t>P2</t>
  </si>
  <si>
    <t>19x50</t>
  </si>
  <si>
    <t>P3</t>
  </si>
  <si>
    <t>P4</t>
  </si>
  <si>
    <t>14x50</t>
  </si>
  <si>
    <t>P5</t>
  </si>
  <si>
    <t>19x40</t>
  </si>
  <si>
    <t>P6</t>
  </si>
  <si>
    <t>14x40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</si>
  <si>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</si>
  <si>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</si>
  <si>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</si>
  <si>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</si>
  <si>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</si>
  <si>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</si>
  <si>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</si>
  <si>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</si>
  <si>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</si>
  <si>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</si>
  <si>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</si>
  <si>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</si>
  <si>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150x60</t>
  </si>
  <si>
    <t>P19</t>
  </si>
  <si>
    <t>P20</t>
  </si>
  <si>
    <t>TOTAL:</t>
  </si>
  <si>
    <t>AltoQi | Tecnologia aplicada à engenharia.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</si>
</sst>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b/>
      <sz val="15"/>
      <color rgb="FF000000"/>
      <name val="Calibri"/>
      <family val="2"/>
    </font>
    <font>
      <b/>
      <sz val="15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39A5D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0C0C0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4" borderId="3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left" vertical="center" wrapText="1"/>
    </xf>
    <xf numFmtId="4" fontId="4" fillId="6" borderId="5" xfId="0" applyNumberFormat="1" applyFont="1" applyFill="1" applyBorder="1" applyAlignment="1">
      <alignment horizontal="right" vertical="center" wrapText="1"/>
    </xf>
    <xf numFmtId="49" fontId="5" fillId="7" borderId="6" xfId="0" applyNumberFormat="1" applyFont="1" applyFill="1" applyBorder="1" applyAlignment="1">
      <alignment horizontal="left" vertical="center" wrapText="1"/>
    </xf>
    <xf numFmtId="4" fontId="6" fillId="8" borderId="7" xfId="0" applyNumberFormat="1" applyFont="1" applyFill="1" applyBorder="1" applyAlignment="1">
      <alignment horizontal="right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5" fillId="7" borderId="6" xfId="0" applyNumberFormat="1" applyFont="1" applyFill="1" applyBorder="1" applyAlignment="1">
      <alignment horizontal="left" vertical="center" wrapText="1"/>
    </xf>
    <xf numFmtId="49" fontId="3" fillId="5" borderId="4" xfId="0" applyNumberFormat="1" applyFont="1" applyFill="1" applyBorder="1" applyAlignment="1">
      <alignment horizontal="left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" fontId="4" fillId="6" borderId="5" xfId="0" applyNumberFormat="1" applyFont="1" applyFill="1" applyBorder="1" applyAlignment="1">
      <alignment horizontal="right" vertical="center" wrapText="1"/>
    </xf>
    <xf numFmtId="49" fontId="1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topLeftCell="A10" workbookViewId="0">
      <selection sqref="A1:Q1"/>
    </sheetView>
  </sheetViews>
  <sheetFormatPr defaultRowHeight="15" x14ac:dyDescent="0.3"/>
  <cols>
    <col min="1" max="17" width="10"/>
  </cols>
  <sheetData>
    <row r="1" spans="1:17" ht="19.5" x14ac:dyDescent="0.3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  <c r="H1" s="6" t="s">
        <v>1</v>
      </c>
      <c r="I1" s="6" t="s">
        <v>1</v>
      </c>
      <c r="J1" s="6" t="s">
        <v>1</v>
      </c>
      <c r="K1" s="6" t="s">
        <v>1</v>
      </c>
      <c r="L1" s="6" t="s">
        <v>1</v>
      </c>
      <c r="M1" s="6" t="s">
        <v>1</v>
      </c>
      <c r="N1" s="6" t="s">
        <v>1</v>
      </c>
      <c r="O1" s="6" t="s">
        <v>1</v>
      </c>
      <c r="P1" s="6" t="s">
        <v>1</v>
      </c>
      <c r="Q1" s="6" t="s">
        <v>1</v>
      </c>
    </row>
    <row r="2" spans="1:17" ht="19.5" x14ac:dyDescent="0.3">
      <c r="A2" s="4" t="s">
        <v>2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  <c r="L2" s="7" t="s">
        <v>1</v>
      </c>
      <c r="M2" s="7" t="s">
        <v>1</v>
      </c>
      <c r="N2" s="7" t="s">
        <v>1</v>
      </c>
      <c r="O2" s="7" t="s">
        <v>1</v>
      </c>
      <c r="P2" s="7" t="s">
        <v>1</v>
      </c>
      <c r="Q2" s="7" t="s">
        <v>1</v>
      </c>
    </row>
    <row r="3" spans="1:17" ht="19.5" x14ac:dyDescent="0.3">
      <c r="A3" s="2" t="s">
        <v>3</v>
      </c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</row>
    <row r="4" spans="1:17" ht="19.5" x14ac:dyDescent="0.3">
      <c r="A4" s="4" t="s">
        <v>4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</row>
    <row r="5" spans="1:17" ht="19.5" x14ac:dyDescent="0.3">
      <c r="A5" s="2" t="s">
        <v>5</v>
      </c>
      <c r="B5" s="8" t="s">
        <v>1</v>
      </c>
      <c r="C5" s="8" t="s">
        <v>1</v>
      </c>
      <c r="D5" s="8" t="s">
        <v>1</v>
      </c>
      <c r="E5" s="8" t="s">
        <v>1</v>
      </c>
      <c r="F5" s="8" t="s">
        <v>1</v>
      </c>
      <c r="G5" s="8" t="s">
        <v>1</v>
      </c>
      <c r="H5" s="8" t="s">
        <v>1</v>
      </c>
      <c r="I5" s="8" t="s">
        <v>1</v>
      </c>
      <c r="J5" s="8" t="s">
        <v>1</v>
      </c>
      <c r="K5" s="8" t="s">
        <v>1</v>
      </c>
      <c r="L5" s="8" t="s">
        <v>1</v>
      </c>
      <c r="M5" s="8" t="s">
        <v>1</v>
      </c>
      <c r="N5" s="8" t="s">
        <v>1</v>
      </c>
      <c r="O5" s="8" t="s">
        <v>1</v>
      </c>
      <c r="P5" s="8" t="s">
        <v>1</v>
      </c>
      <c r="Q5" s="8" t="s">
        <v>1</v>
      </c>
    </row>
    <row r="6" spans="1:17" ht="19.5" x14ac:dyDescent="0.3"/>
    <row r="7" spans="1:17" ht="19.5" x14ac:dyDescent="0.3">
      <c r="A7" s="6" t="s">
        <v>6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  <c r="L7" s="6" t="s">
        <v>1</v>
      </c>
      <c r="M7" s="6" t="s">
        <v>1</v>
      </c>
      <c r="N7" s="6" t="s">
        <v>1</v>
      </c>
      <c r="O7" s="6" t="s">
        <v>1</v>
      </c>
      <c r="P7" s="6" t="s">
        <v>1</v>
      </c>
      <c r="Q7" s="6" t="s">
        <v>1</v>
      </c>
    </row>
    <row r="8" spans="1:17" ht="19.5" x14ac:dyDescent="0.3"/>
    <row r="9" spans="1:17" ht="19.5" x14ac:dyDescent="0.3">
      <c r="A9" s="9" t="s">
        <v>7</v>
      </c>
      <c r="B9" s="9" t="s">
        <v>1</v>
      </c>
      <c r="C9" s="9" t="s">
        <v>8</v>
      </c>
      <c r="D9" s="9" t="s">
        <v>1</v>
      </c>
      <c r="E9" s="9" t="s">
        <v>1</v>
      </c>
      <c r="F9" s="9" t="s">
        <v>1</v>
      </c>
      <c r="G9" s="9" t="s">
        <v>1</v>
      </c>
      <c r="H9" s="9" t="s">
        <v>1</v>
      </c>
      <c r="I9" s="9" t="s">
        <v>1</v>
      </c>
      <c r="J9" s="9" t="s">
        <v>1</v>
      </c>
      <c r="K9" s="9" t="s">
        <v>1</v>
      </c>
      <c r="L9" s="9" t="s">
        <v>1</v>
      </c>
      <c r="M9" s="9" t="s">
        <v>1</v>
      </c>
      <c r="N9" s="9" t="s">
        <v>1</v>
      </c>
      <c r="O9" s="9" t="s">
        <v>1</v>
      </c>
      <c r="P9" s="9" t="s">
        <v>9</v>
      </c>
      <c r="Q9" s="9" t="s">
        <v>1</v>
      </c>
    </row>
    <row r="10" spans="1:17" ht="25.5" x14ac:dyDescent="0.3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18</v>
      </c>
      <c r="J10" s="1" t="s">
        <v>19</v>
      </c>
      <c r="K10" s="1" t="s">
        <v>20</v>
      </c>
      <c r="L10" s="1" t="s">
        <v>21</v>
      </c>
      <c r="M10" s="1" t="s">
        <v>22</v>
      </c>
      <c r="N10" s="1" t="s">
        <v>23</v>
      </c>
      <c r="O10" s="1" t="s">
        <v>24</v>
      </c>
      <c r="P10" s="1" t="s">
        <v>25</v>
      </c>
      <c r="Q10" s="1" t="s">
        <v>26</v>
      </c>
    </row>
    <row r="11" spans="1:17" ht="19.5" x14ac:dyDescent="0.3">
      <c r="A11" s="2" t="s">
        <v>27</v>
      </c>
      <c r="B11" s="2" t="s">
        <v>28</v>
      </c>
      <c r="C11" s="3">
        <v>1.27</v>
      </c>
      <c r="D11" s="3">
        <v>2.4</v>
      </c>
      <c r="E11" s="3">
        <v>0</v>
      </c>
      <c r="F11" s="3">
        <v>0</v>
      </c>
      <c r="G11" s="3">
        <v>0.21</v>
      </c>
      <c r="H11" s="3">
        <v>0.23</v>
      </c>
      <c r="I11" s="3">
        <v>-0.23</v>
      </c>
      <c r="J11" s="3">
        <v>0.09</v>
      </c>
      <c r="K11" s="3">
        <v>-0.09</v>
      </c>
      <c r="L11" s="3">
        <v>0.02</v>
      </c>
      <c r="M11" s="3">
        <v>-0.02</v>
      </c>
      <c r="N11" s="3">
        <v>0.02</v>
      </c>
      <c r="O11" s="3">
        <v>-0.02</v>
      </c>
      <c r="P11" s="3">
        <v>4.03</v>
      </c>
      <c r="Q11" s="3">
        <v>0</v>
      </c>
    </row>
    <row r="12" spans="1:17" ht="19.5" x14ac:dyDescent="0.3">
      <c r="A12" s="4" t="s">
        <v>29</v>
      </c>
      <c r="B12" s="4" t="s">
        <v>30</v>
      </c>
      <c r="C12" s="5">
        <v>13.33</v>
      </c>
      <c r="D12" s="5">
        <v>14.25</v>
      </c>
      <c r="E12" s="5">
        <v>0</v>
      </c>
      <c r="F12" s="5">
        <v>0</v>
      </c>
      <c r="G12" s="5">
        <v>1.1000000000000001</v>
      </c>
      <c r="H12" s="5">
        <v>-0.45</v>
      </c>
      <c r="I12" s="5">
        <v>0.45</v>
      </c>
      <c r="J12" s="5">
        <v>-0.1</v>
      </c>
      <c r="K12" s="5">
        <v>0.1</v>
      </c>
      <c r="L12" s="5">
        <v>-7.0000000000000007E-2</v>
      </c>
      <c r="M12" s="5">
        <v>7.0000000000000007E-2</v>
      </c>
      <c r="N12" s="5">
        <v>0.01</v>
      </c>
      <c r="O12" s="5">
        <v>-0.01</v>
      </c>
      <c r="P12" s="5">
        <v>28.99</v>
      </c>
      <c r="Q12" s="5">
        <v>0</v>
      </c>
    </row>
    <row r="13" spans="1:17" ht="19.5" x14ac:dyDescent="0.3">
      <c r="A13" s="2" t="s">
        <v>31</v>
      </c>
      <c r="B13" s="2" t="s">
        <v>30</v>
      </c>
      <c r="C13" s="3">
        <v>13.08</v>
      </c>
      <c r="D13" s="3">
        <v>14.01</v>
      </c>
      <c r="E13" s="3">
        <v>0</v>
      </c>
      <c r="F13" s="3">
        <v>0</v>
      </c>
      <c r="G13" s="3">
        <v>2.09</v>
      </c>
      <c r="H13" s="3">
        <v>-0.15</v>
      </c>
      <c r="I13" s="3">
        <v>0.15</v>
      </c>
      <c r="J13" s="3">
        <v>-0.02</v>
      </c>
      <c r="K13" s="3">
        <v>0.02</v>
      </c>
      <c r="L13" s="3">
        <v>-0.01</v>
      </c>
      <c r="M13" s="3">
        <v>0.01</v>
      </c>
      <c r="N13" s="3">
        <v>0.04</v>
      </c>
      <c r="O13" s="3">
        <v>-0.04</v>
      </c>
      <c r="P13" s="3">
        <v>29.28</v>
      </c>
      <c r="Q13" s="3">
        <v>0</v>
      </c>
    </row>
    <row r="14" spans="1:17" ht="19.5" x14ac:dyDescent="0.3">
      <c r="A14" s="4" t="s">
        <v>32</v>
      </c>
      <c r="B14" s="4" t="s">
        <v>33</v>
      </c>
      <c r="C14" s="5">
        <v>5.94</v>
      </c>
      <c r="D14" s="5">
        <v>8.6199999999999992</v>
      </c>
      <c r="E14" s="5">
        <v>0</v>
      </c>
      <c r="F14" s="5">
        <v>0</v>
      </c>
      <c r="G14" s="5">
        <v>0.57999999999999996</v>
      </c>
      <c r="H14" s="5">
        <v>1.04</v>
      </c>
      <c r="I14" s="5">
        <v>-1.04</v>
      </c>
      <c r="J14" s="5">
        <v>0.2</v>
      </c>
      <c r="K14" s="5">
        <v>-0.2</v>
      </c>
      <c r="L14" s="5">
        <v>0.11</v>
      </c>
      <c r="M14" s="5">
        <v>-0.11</v>
      </c>
      <c r="N14" s="5">
        <v>0.01</v>
      </c>
      <c r="O14" s="5">
        <v>-0.01</v>
      </c>
      <c r="P14" s="5">
        <v>15.95</v>
      </c>
      <c r="Q14" s="5">
        <v>0</v>
      </c>
    </row>
    <row r="15" spans="1:17" ht="19.5" x14ac:dyDescent="0.3">
      <c r="A15" s="2" t="s">
        <v>34</v>
      </c>
      <c r="B15" s="2" t="s">
        <v>35</v>
      </c>
      <c r="C15" s="3">
        <v>13.72</v>
      </c>
      <c r="D15" s="3">
        <v>16.02</v>
      </c>
      <c r="E15" s="3">
        <v>0</v>
      </c>
      <c r="F15" s="3">
        <v>0</v>
      </c>
      <c r="G15" s="3">
        <v>1.25</v>
      </c>
      <c r="H15" s="3">
        <v>-0.37</v>
      </c>
      <c r="I15" s="3">
        <v>0.37</v>
      </c>
      <c r="J15" s="3">
        <v>-0.08</v>
      </c>
      <c r="K15" s="3">
        <v>0.08</v>
      </c>
      <c r="L15" s="3">
        <v>-0.04</v>
      </c>
      <c r="M15" s="3">
        <v>0.04</v>
      </c>
      <c r="N15" s="3">
        <v>-0.02</v>
      </c>
      <c r="O15" s="3">
        <v>0.02</v>
      </c>
      <c r="P15" s="3">
        <v>31.23</v>
      </c>
      <c r="Q15" s="3">
        <v>0</v>
      </c>
    </row>
    <row r="16" spans="1:17" ht="19.5" x14ac:dyDescent="0.3">
      <c r="A16" s="4" t="s">
        <v>36</v>
      </c>
      <c r="B16" s="4" t="s">
        <v>37</v>
      </c>
      <c r="C16" s="5">
        <v>4.53</v>
      </c>
      <c r="D16" s="5">
        <v>9.65</v>
      </c>
      <c r="E16" s="5">
        <v>0</v>
      </c>
      <c r="F16" s="5">
        <v>0</v>
      </c>
      <c r="G16" s="5">
        <v>0.9</v>
      </c>
      <c r="H16" s="5">
        <v>0.5</v>
      </c>
      <c r="I16" s="5">
        <v>-0.5</v>
      </c>
      <c r="J16" s="5">
        <v>0.08</v>
      </c>
      <c r="K16" s="5">
        <v>-0.08</v>
      </c>
      <c r="L16" s="5">
        <v>0.05</v>
      </c>
      <c r="M16" s="5">
        <v>-0.05</v>
      </c>
      <c r="N16" s="5">
        <v>0.01</v>
      </c>
      <c r="O16" s="5">
        <v>-0.01</v>
      </c>
      <c r="P16" s="5">
        <v>15.41</v>
      </c>
      <c r="Q16" s="5">
        <v>0</v>
      </c>
    </row>
    <row r="17" spans="1:17" ht="19.5" x14ac:dyDescent="0.3">
      <c r="A17" s="2" t="s">
        <v>38</v>
      </c>
      <c r="B17" s="2" t="s">
        <v>35</v>
      </c>
      <c r="C17" s="3">
        <v>16.690000000000001</v>
      </c>
      <c r="D17" s="3">
        <v>18.66</v>
      </c>
      <c r="E17" s="3">
        <v>0</v>
      </c>
      <c r="F17" s="3">
        <v>0</v>
      </c>
      <c r="G17" s="3">
        <v>0.56000000000000005</v>
      </c>
      <c r="H17" s="3">
        <v>-0.84</v>
      </c>
      <c r="I17" s="3">
        <v>0.84</v>
      </c>
      <c r="J17" s="3">
        <v>0.01</v>
      </c>
      <c r="K17" s="3">
        <v>-0.01</v>
      </c>
      <c r="L17" s="3">
        <v>-0.1</v>
      </c>
      <c r="M17" s="3">
        <v>0.1</v>
      </c>
      <c r="N17" s="3">
        <v>0.06</v>
      </c>
      <c r="O17" s="3">
        <v>-0.06</v>
      </c>
      <c r="P17" s="3">
        <v>36.53</v>
      </c>
      <c r="Q17" s="3">
        <v>0</v>
      </c>
    </row>
    <row r="18" spans="1:17" ht="19.5" x14ac:dyDescent="0.3">
      <c r="A18" s="4" t="s">
        <v>39</v>
      </c>
      <c r="B18" s="4" t="s">
        <v>35</v>
      </c>
      <c r="C18" s="5">
        <v>15.27</v>
      </c>
      <c r="D18" s="5">
        <v>16.829999999999998</v>
      </c>
      <c r="E18" s="5">
        <v>0</v>
      </c>
      <c r="F18" s="5">
        <v>0</v>
      </c>
      <c r="G18" s="5">
        <v>1.46</v>
      </c>
      <c r="H18" s="5">
        <v>0.69</v>
      </c>
      <c r="I18" s="5">
        <v>-0.69</v>
      </c>
      <c r="J18" s="5">
        <v>0.1</v>
      </c>
      <c r="K18" s="5">
        <v>-0.1</v>
      </c>
      <c r="L18" s="5">
        <v>7.0000000000000007E-2</v>
      </c>
      <c r="M18" s="5">
        <v>-7.0000000000000007E-2</v>
      </c>
      <c r="N18" s="5">
        <v>0.03</v>
      </c>
      <c r="O18" s="5">
        <v>-0.03</v>
      </c>
      <c r="P18" s="5">
        <v>34.020000000000003</v>
      </c>
      <c r="Q18" s="5">
        <v>0</v>
      </c>
    </row>
    <row r="19" spans="1:17" ht="19.5" x14ac:dyDescent="0.3">
      <c r="A19" s="2" t="s">
        <v>40</v>
      </c>
      <c r="B19" s="2" t="s">
        <v>30</v>
      </c>
      <c r="C19" s="3">
        <v>4.9800000000000004</v>
      </c>
      <c r="D19" s="3">
        <v>3.45</v>
      </c>
      <c r="E19" s="3">
        <v>0</v>
      </c>
      <c r="F19" s="3">
        <v>0</v>
      </c>
      <c r="G19" s="3">
        <v>-0.04</v>
      </c>
      <c r="H19" s="3">
        <v>-0.15</v>
      </c>
      <c r="I19" s="3">
        <v>0.15</v>
      </c>
      <c r="J19" s="3">
        <v>0.04</v>
      </c>
      <c r="K19" s="3">
        <v>-0.04</v>
      </c>
      <c r="L19" s="3">
        <v>-0.02</v>
      </c>
      <c r="M19" s="3">
        <v>0.02</v>
      </c>
      <c r="N19" s="3">
        <v>0.03</v>
      </c>
      <c r="O19" s="3">
        <v>-0.03</v>
      </c>
      <c r="P19" s="3">
        <v>8.59</v>
      </c>
      <c r="Q19" s="3">
        <v>0</v>
      </c>
    </row>
    <row r="20" spans="1:17" ht="19.5" x14ac:dyDescent="0.3">
      <c r="A20" s="4" t="s">
        <v>41</v>
      </c>
      <c r="B20" s="4" t="s">
        <v>33</v>
      </c>
      <c r="C20" s="5">
        <v>10.46</v>
      </c>
      <c r="D20" s="5">
        <v>13.2</v>
      </c>
      <c r="E20" s="5">
        <v>0</v>
      </c>
      <c r="F20" s="5">
        <v>0</v>
      </c>
      <c r="G20" s="5">
        <v>0.97</v>
      </c>
      <c r="H20" s="5">
        <v>0.03</v>
      </c>
      <c r="I20" s="5">
        <v>-0.03</v>
      </c>
      <c r="J20" s="5">
        <v>0.11</v>
      </c>
      <c r="K20" s="5">
        <v>-0.11</v>
      </c>
      <c r="L20" s="5">
        <v>-0.02</v>
      </c>
      <c r="M20" s="5">
        <v>0.02</v>
      </c>
      <c r="N20" s="5">
        <v>0.04</v>
      </c>
      <c r="O20" s="5">
        <v>-0.04</v>
      </c>
      <c r="P20" s="5">
        <v>24.73</v>
      </c>
      <c r="Q20" s="5">
        <v>0</v>
      </c>
    </row>
    <row r="21" spans="1:17" ht="19.5" x14ac:dyDescent="0.3">
      <c r="A21" s="2" t="s">
        <v>42</v>
      </c>
      <c r="B21" s="2" t="s">
        <v>37</v>
      </c>
      <c r="C21" s="3">
        <v>3.1</v>
      </c>
      <c r="D21" s="3">
        <v>9.07</v>
      </c>
      <c r="E21" s="3">
        <v>0</v>
      </c>
      <c r="F21" s="3">
        <v>0</v>
      </c>
      <c r="G21" s="3">
        <v>0.54</v>
      </c>
      <c r="H21" s="3">
        <v>1.4</v>
      </c>
      <c r="I21" s="3">
        <v>-1.4</v>
      </c>
      <c r="J21" s="3">
        <v>-0.09</v>
      </c>
      <c r="K21" s="3">
        <v>0.09</v>
      </c>
      <c r="L21" s="3">
        <v>0.09</v>
      </c>
      <c r="M21" s="3">
        <v>-0.09</v>
      </c>
      <c r="N21" s="3">
        <v>0.04</v>
      </c>
      <c r="O21" s="3">
        <v>-0.04</v>
      </c>
      <c r="P21" s="3">
        <v>13.89</v>
      </c>
      <c r="Q21" s="3">
        <v>0</v>
      </c>
    </row>
    <row r="22" spans="1:17" ht="19.5" x14ac:dyDescent="0.3">
      <c r="A22" s="4" t="s">
        <v>43</v>
      </c>
      <c r="B22" s="4" t="s">
        <v>30</v>
      </c>
      <c r="C22" s="5">
        <v>2.89</v>
      </c>
      <c r="D22" s="5">
        <v>2.67</v>
      </c>
      <c r="E22" s="5">
        <v>0</v>
      </c>
      <c r="F22" s="5">
        <v>0</v>
      </c>
      <c r="G22" s="5">
        <v>-0.35</v>
      </c>
      <c r="H22" s="5">
        <v>-0.15</v>
      </c>
      <c r="I22" s="5">
        <v>0.15</v>
      </c>
      <c r="J22" s="5">
        <v>0.12</v>
      </c>
      <c r="K22" s="5">
        <v>-0.12</v>
      </c>
      <c r="L22" s="5">
        <v>-0.02</v>
      </c>
      <c r="M22" s="5">
        <v>0.02</v>
      </c>
      <c r="N22" s="5">
        <v>0.05</v>
      </c>
      <c r="O22" s="5">
        <v>-0.05</v>
      </c>
      <c r="P22" s="5">
        <v>5.73</v>
      </c>
      <c r="Q22" s="5">
        <v>0</v>
      </c>
    </row>
    <row r="23" spans="1:17" ht="19.5" x14ac:dyDescent="0.3">
      <c r="A23" s="2" t="s">
        <v>44</v>
      </c>
      <c r="B23" s="2" t="s">
        <v>37</v>
      </c>
      <c r="C23" s="3">
        <v>4.08</v>
      </c>
      <c r="D23" s="3">
        <v>3.78</v>
      </c>
      <c r="E23" s="3">
        <v>0</v>
      </c>
      <c r="F23" s="3">
        <v>0</v>
      </c>
      <c r="G23" s="3">
        <v>0.19</v>
      </c>
      <c r="H23" s="3">
        <v>-0.88</v>
      </c>
      <c r="I23" s="3">
        <v>0.88</v>
      </c>
      <c r="J23" s="3">
        <v>0.25</v>
      </c>
      <c r="K23" s="3">
        <v>-0.25</v>
      </c>
      <c r="L23" s="3">
        <v>-0.13</v>
      </c>
      <c r="M23" s="3">
        <v>0.13</v>
      </c>
      <c r="N23" s="3">
        <v>0.11</v>
      </c>
      <c r="O23" s="3">
        <v>-0.11</v>
      </c>
      <c r="P23" s="3">
        <v>8.91</v>
      </c>
      <c r="Q23" s="3">
        <v>0</v>
      </c>
    </row>
    <row r="24" spans="1:17" ht="19.5" x14ac:dyDescent="0.3">
      <c r="A24" s="4" t="s">
        <v>45</v>
      </c>
      <c r="B24" s="4" t="s">
        <v>33</v>
      </c>
      <c r="C24" s="5">
        <v>11.66</v>
      </c>
      <c r="D24" s="5">
        <v>12.76</v>
      </c>
      <c r="E24" s="5">
        <v>0</v>
      </c>
      <c r="F24" s="5">
        <v>0</v>
      </c>
      <c r="G24" s="5">
        <v>2.31</v>
      </c>
      <c r="H24" s="5">
        <v>0.21</v>
      </c>
      <c r="I24" s="5">
        <v>-0.21</v>
      </c>
      <c r="J24" s="5">
        <v>0.18</v>
      </c>
      <c r="K24" s="5">
        <v>-0.18</v>
      </c>
      <c r="L24" s="5">
        <v>0.08</v>
      </c>
      <c r="M24" s="5">
        <v>-0.08</v>
      </c>
      <c r="N24" s="5">
        <v>-0.06</v>
      </c>
      <c r="O24" s="5">
        <v>0.06</v>
      </c>
      <c r="P24" s="5">
        <v>26.91</v>
      </c>
      <c r="Q24" s="5">
        <v>0</v>
      </c>
    </row>
    <row r="25" spans="1:17" ht="19.5" x14ac:dyDescent="0.3">
      <c r="A25" s="2" t="s">
        <v>46</v>
      </c>
      <c r="B25" s="2" t="s">
        <v>35</v>
      </c>
      <c r="C25" s="3">
        <v>14.41</v>
      </c>
      <c r="D25" s="3">
        <v>11.65</v>
      </c>
      <c r="E25" s="3">
        <v>0</v>
      </c>
      <c r="F25" s="3">
        <v>0</v>
      </c>
      <c r="G25" s="3">
        <v>2.0299999999999998</v>
      </c>
      <c r="H25" s="3">
        <v>-3.38</v>
      </c>
      <c r="I25" s="3">
        <v>3.38</v>
      </c>
      <c r="J25" s="3">
        <v>2.09</v>
      </c>
      <c r="K25" s="3">
        <v>-2.09</v>
      </c>
      <c r="L25" s="3">
        <v>-7.0000000000000007E-2</v>
      </c>
      <c r="M25" s="3">
        <v>7.0000000000000007E-2</v>
      </c>
      <c r="N25" s="3">
        <v>0.04</v>
      </c>
      <c r="O25" s="3">
        <v>-0.04</v>
      </c>
      <c r="P25" s="3">
        <v>30.5</v>
      </c>
      <c r="Q25" s="3">
        <v>0</v>
      </c>
    </row>
    <row r="26" spans="1:17" ht="19.5" x14ac:dyDescent="0.3">
      <c r="A26" s="4" t="s">
        <v>47</v>
      </c>
      <c r="B26" s="4" t="s">
        <v>30</v>
      </c>
      <c r="C26" s="5">
        <v>12.89</v>
      </c>
      <c r="D26" s="5">
        <v>14.22</v>
      </c>
      <c r="E26" s="5">
        <v>0</v>
      </c>
      <c r="F26" s="5">
        <v>0</v>
      </c>
      <c r="G26" s="5">
        <v>1.18</v>
      </c>
      <c r="H26" s="5">
        <v>-1.36</v>
      </c>
      <c r="I26" s="5">
        <v>1.36</v>
      </c>
      <c r="J26" s="5">
        <v>-0.02</v>
      </c>
      <c r="K26" s="5">
        <v>0.02</v>
      </c>
      <c r="L26" s="5">
        <v>-0.17</v>
      </c>
      <c r="M26" s="5">
        <v>0.17</v>
      </c>
      <c r="N26" s="5">
        <v>-0.15</v>
      </c>
      <c r="O26" s="5">
        <v>0.15</v>
      </c>
      <c r="P26" s="5">
        <v>29.2</v>
      </c>
      <c r="Q26" s="5">
        <v>0</v>
      </c>
    </row>
    <row r="27" spans="1:17" ht="19.5" x14ac:dyDescent="0.3">
      <c r="A27" s="2" t="s">
        <v>48</v>
      </c>
      <c r="B27" s="2" t="s">
        <v>30</v>
      </c>
      <c r="C27" s="3">
        <v>23.85</v>
      </c>
      <c r="D27" s="3">
        <v>20.8</v>
      </c>
      <c r="E27" s="3">
        <v>0</v>
      </c>
      <c r="F27" s="3">
        <v>0</v>
      </c>
      <c r="G27" s="3">
        <v>4.26</v>
      </c>
      <c r="H27" s="3">
        <v>-0.22</v>
      </c>
      <c r="I27" s="3">
        <v>0.22</v>
      </c>
      <c r="J27" s="3">
        <v>-0.72</v>
      </c>
      <c r="K27" s="3">
        <v>0.72</v>
      </c>
      <c r="L27" s="3">
        <v>0.09</v>
      </c>
      <c r="M27" s="3">
        <v>-0.09</v>
      </c>
      <c r="N27" s="3">
        <v>-0.15</v>
      </c>
      <c r="O27" s="3">
        <v>0.15</v>
      </c>
      <c r="P27" s="3">
        <v>49.44</v>
      </c>
      <c r="Q27" s="3">
        <v>0</v>
      </c>
    </row>
    <row r="28" spans="1:17" ht="19.5" x14ac:dyDescent="0.3">
      <c r="A28" s="4" t="s">
        <v>49</v>
      </c>
      <c r="B28" s="4" t="s">
        <v>50</v>
      </c>
      <c r="C28" s="5">
        <v>3.57</v>
      </c>
      <c r="D28" s="5">
        <v>0.78</v>
      </c>
      <c r="E28" s="5">
        <v>0</v>
      </c>
      <c r="F28" s="5">
        <v>0</v>
      </c>
      <c r="G28" s="5">
        <v>0.03</v>
      </c>
      <c r="H28" s="5">
        <v>1.56</v>
      </c>
      <c r="I28" s="5">
        <v>-1.56</v>
      </c>
      <c r="J28" s="5">
        <v>0.52</v>
      </c>
      <c r="K28" s="5">
        <v>-0.52</v>
      </c>
      <c r="L28" s="5">
        <v>0.05</v>
      </c>
      <c r="M28" s="5">
        <v>-0.05</v>
      </c>
      <c r="N28" s="5">
        <v>-0.01</v>
      </c>
      <c r="O28" s="5">
        <v>0.01</v>
      </c>
      <c r="P28" s="5">
        <v>5.96</v>
      </c>
      <c r="Q28" s="5">
        <v>0</v>
      </c>
    </row>
    <row r="29" spans="1:17" ht="19.5" x14ac:dyDescent="0.3">
      <c r="A29" s="2" t="s">
        <v>51</v>
      </c>
      <c r="B29" s="2" t="s">
        <v>1</v>
      </c>
      <c r="C29" s="3">
        <v>5.2</v>
      </c>
      <c r="D29" s="3">
        <v>1.85</v>
      </c>
      <c r="E29" s="3">
        <v>0</v>
      </c>
      <c r="F29" s="3">
        <v>0</v>
      </c>
      <c r="G29" s="3">
        <v>0.47</v>
      </c>
      <c r="H29" s="3">
        <v>1.78</v>
      </c>
      <c r="I29" s="3">
        <v>-1.78</v>
      </c>
      <c r="J29" s="3">
        <v>-0.56000000000000005</v>
      </c>
      <c r="K29" s="3">
        <v>0.56000000000000005</v>
      </c>
      <c r="L29" s="3">
        <v>0.08</v>
      </c>
      <c r="M29" s="3">
        <v>-0.08</v>
      </c>
      <c r="N29" s="3">
        <v>-0.03</v>
      </c>
      <c r="O29" s="3">
        <v>0.03</v>
      </c>
      <c r="P29" s="3">
        <v>9.11</v>
      </c>
      <c r="Q29" s="3">
        <v>0</v>
      </c>
    </row>
    <row r="30" spans="1:17" ht="19.5" x14ac:dyDescent="0.3">
      <c r="A30" s="4" t="s">
        <v>52</v>
      </c>
      <c r="B30" s="4" t="s">
        <v>1</v>
      </c>
      <c r="C30" s="5">
        <v>5.41</v>
      </c>
      <c r="D30" s="5">
        <v>1.49</v>
      </c>
      <c r="E30" s="5">
        <v>0</v>
      </c>
      <c r="F30" s="5">
        <v>0</v>
      </c>
      <c r="G30" s="5">
        <v>0.45</v>
      </c>
      <c r="H30" s="5">
        <v>0.51</v>
      </c>
      <c r="I30" s="5">
        <v>-0.51</v>
      </c>
      <c r="J30" s="5">
        <v>-2.2000000000000002</v>
      </c>
      <c r="K30" s="5">
        <v>2.2000000000000002</v>
      </c>
      <c r="L30" s="5">
        <v>0.02</v>
      </c>
      <c r="M30" s="5">
        <v>-0.02</v>
      </c>
      <c r="N30" s="5">
        <v>-7.0000000000000007E-2</v>
      </c>
      <c r="O30" s="5">
        <v>7.0000000000000007E-2</v>
      </c>
      <c r="P30" s="5">
        <v>9.36</v>
      </c>
      <c r="Q30" s="5">
        <v>0</v>
      </c>
    </row>
    <row r="31" spans="1:17" ht="19.5" x14ac:dyDescent="0.3">
      <c r="A31" s="9" t="s">
        <v>53</v>
      </c>
      <c r="B31" s="9" t="s">
        <v>1</v>
      </c>
      <c r="C31" s="3">
        <f t="shared" ref="C31:O31" si="0">SUM(C11:C30)</f>
        <v>186.32999999999998</v>
      </c>
      <c r="D31" s="3">
        <f t="shared" si="0"/>
        <v>196.16</v>
      </c>
      <c r="E31" s="3">
        <f t="shared" si="0"/>
        <v>0</v>
      </c>
      <c r="F31" s="3">
        <f t="shared" si="0"/>
        <v>0</v>
      </c>
      <c r="G31" s="3">
        <f t="shared" si="0"/>
        <v>20.190000000000001</v>
      </c>
      <c r="H31" s="3">
        <f t="shared" si="0"/>
        <v>0</v>
      </c>
      <c r="I31" s="3">
        <f t="shared" si="0"/>
        <v>0</v>
      </c>
      <c r="J31" s="3">
        <f t="shared" si="0"/>
        <v>0</v>
      </c>
      <c r="K31" s="3">
        <f t="shared" si="0"/>
        <v>0</v>
      </c>
      <c r="L31" s="3">
        <f t="shared" si="0"/>
        <v>9.9999999999999638E-3</v>
      </c>
      <c r="M31" s="3">
        <f t="shared" si="0"/>
        <v>-9.9999999999999638E-3</v>
      </c>
      <c r="N31" s="3">
        <f t="shared" si="0"/>
        <v>0</v>
      </c>
      <c r="O31" s="3">
        <f t="shared" si="0"/>
        <v>0</v>
      </c>
      <c r="P31" s="10">
        <f>SUM(C31:O31)</f>
        <v>402.68</v>
      </c>
      <c r="Q31" s="10" t="s">
        <v>1</v>
      </c>
    </row>
    <row r="32" spans="1:17" ht="19.5" x14ac:dyDescent="0.3"/>
    <row r="33" spans="1:17" ht="19.5" x14ac:dyDescent="0.3">
      <c r="A33" s="11" t="s">
        <v>54</v>
      </c>
      <c r="B33" s="11" t="s">
        <v>1</v>
      </c>
      <c r="C33" s="11" t="s">
        <v>1</v>
      </c>
      <c r="D33" s="11" t="s">
        <v>1</v>
      </c>
      <c r="E33" s="11" t="s">
        <v>1</v>
      </c>
      <c r="F33" s="11" t="s">
        <v>1</v>
      </c>
      <c r="G33" s="11" t="s">
        <v>1</v>
      </c>
      <c r="H33" s="11" t="s">
        <v>1</v>
      </c>
      <c r="I33" s="11" t="s">
        <v>1</v>
      </c>
      <c r="J33" s="11" t="s">
        <v>1</v>
      </c>
      <c r="K33" s="11" t="s">
        <v>1</v>
      </c>
      <c r="L33" s="11" t="s">
        <v>1</v>
      </c>
      <c r="M33" s="11" t="s">
        <v>1</v>
      </c>
      <c r="N33" s="11" t="s">
        <v>1</v>
      </c>
      <c r="O33" s="11" t="s">
        <v>1</v>
      </c>
      <c r="P33" s="11" t="s">
        <v>1</v>
      </c>
      <c r="Q33" s="11" t="s">
        <v>1</v>
      </c>
    </row>
  </sheetData>
  <mergeCells count="12">
    <mergeCell ref="A33:Q33"/>
    <mergeCell ref="A7:Q7"/>
    <mergeCell ref="A9:B9"/>
    <mergeCell ref="C9:O9"/>
    <mergeCell ref="P9:Q9"/>
    <mergeCell ref="A31:B31"/>
    <mergeCell ref="P31:Q31"/>
    <mergeCell ref="A1:Q1"/>
    <mergeCell ref="B2:Q2"/>
    <mergeCell ref="B3:Q3"/>
    <mergeCell ref="B4:Q4"/>
    <mergeCell ref="B5:Q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Projeto_CargasFundacao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Soligo</dc:creator>
  <cp:lastModifiedBy>Leonardo Soligo</cp:lastModifiedBy>
  <dcterms:created xsi:type="dcterms:W3CDTF">2026-10-05T04:16:31Z</dcterms:created>
  <dcterms:modified xsi:type="dcterms:W3CDTF">2026-10-05T04:16:31Z</dcterms:modified>
</cp:coreProperties>
</file>